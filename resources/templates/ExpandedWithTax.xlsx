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1st Q" sheetId="1" r:id="rId1"/>
  </sheets>
  <definedNames>
    <definedName name="_xlnm._FilterDatabase" localSheetId="0" hidden="1">'1st Q'!$A$7:$I$67</definedName>
  </definedNames>
  <calcPr calcId="144525"/>
</workbook>
</file>

<file path=xl/calcChain.xml><?xml version="1.0" encoding="utf-8"?>
<calcChain xmlns="http://schemas.openxmlformats.org/spreadsheetml/2006/main">
  <c r="N2" i="1" l="1"/>
  <c r="N3" i="1"/>
  <c r="N4" i="1"/>
  <c r="L5" i="1"/>
  <c r="N5" i="1" l="1"/>
  <c r="N10" i="1" s="1"/>
</calcChain>
</file>

<file path=xl/sharedStrings.xml><?xml version="1.0" encoding="utf-8"?>
<sst xmlns="http://schemas.openxmlformats.org/spreadsheetml/2006/main" count="39" uniqueCount="35">
  <si>
    <t>BIR Form 1601EQ</t>
  </si>
  <si>
    <t>ATC</t>
  </si>
  <si>
    <t>Amount</t>
  </si>
  <si>
    <t>Tax Rate</t>
  </si>
  <si>
    <t>Tax Withheld</t>
  </si>
  <si>
    <t>ALPHABETICAL LIST OF PAYEES FROM WHOM TAXES WERE WITHHELD</t>
  </si>
  <si>
    <t>WC158</t>
  </si>
  <si>
    <t>For the Month Ending January - March 2026</t>
  </si>
  <si>
    <t>WI010</t>
  </si>
  <si>
    <t>WI158</t>
  </si>
  <si>
    <t>Withhold Agent's Name:</t>
  </si>
  <si>
    <t>TIN:</t>
  </si>
  <si>
    <t xml:space="preserve">less: remittance </t>
  </si>
  <si>
    <t>#</t>
  </si>
  <si>
    <t>TIN</t>
  </si>
  <si>
    <t>Document No</t>
  </si>
  <si>
    <t>Branch Code</t>
  </si>
  <si>
    <t>Registered Name</t>
  </si>
  <si>
    <t>JANUARY</t>
  </si>
  <si>
    <t>FEBRUARY</t>
  </si>
  <si>
    <t>Over-remmitance from Previous Quarter of the same taxable year</t>
  </si>
  <si>
    <t>PAYABLE</t>
  </si>
  <si>
    <t>[onshow.ClientName]</t>
  </si>
  <si>
    <t>[onshow.TIN]</t>
  </si>
  <si>
    <t>[onshow.F_TotaAmount]</t>
  </si>
  <si>
    <t>[onshow.F_TotalTaxWithheld]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</si>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</sst>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1" x14ac:knownFonts="1">
    <font>
      <sz val="10"/>
      <color rgb="FF000000"/>
      <name val="Arial"/>
      <scheme val="minor"/>
    </font>
    <font>
      <sz val="9"/>
      <color rgb="FF000000"/>
      <name val="Arial"/>
    </font>
    <font>
      <b/>
      <sz val="9"/>
      <color theme="1"/>
      <name val="Arial"/>
    </font>
    <font>
      <b/>
      <sz val="9"/>
      <color rgb="FF000000"/>
      <name val="Arial"/>
    </font>
    <font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FF0000"/>
      <name val="Arial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1F3"/>
        <bgColor rgb="FFD9F1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2" borderId="1" xfId="0" applyFont="1" applyFill="1" applyBorder="1" applyAlignment="1"/>
    <xf numFmtId="164" fontId="2" fillId="2" borderId="1" xfId="0" applyNumberFormat="1" applyFont="1" applyFill="1" applyBorder="1" applyAlignment="1"/>
    <xf numFmtId="0" fontId="4" fillId="2" borderId="2" xfId="0" applyFont="1" applyFill="1" applyBorder="1" applyAlignment="1"/>
    <xf numFmtId="164" fontId="5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/>
    <xf numFmtId="164" fontId="4" fillId="2" borderId="2" xfId="0" applyNumberFormat="1" applyFont="1" applyFill="1" applyBorder="1" applyAlignment="1">
      <alignment horizontal="right"/>
    </xf>
    <xf numFmtId="0" fontId="1" fillId="0" borderId="0" xfId="0" applyFont="1" applyAlignment="1"/>
    <xf numFmtId="0" fontId="5" fillId="2" borderId="3" xfId="0" applyFont="1" applyFill="1" applyBorder="1" applyAlignment="1"/>
    <xf numFmtId="164" fontId="6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/>
    <xf numFmtId="164" fontId="5" fillId="2" borderId="2" xfId="0" applyNumberFormat="1" applyFont="1" applyFill="1" applyBorder="1" applyAlignment="1"/>
    <xf numFmtId="0" fontId="7" fillId="0" borderId="0" xfId="0" applyFont="1" applyAlignment="1"/>
    <xf numFmtId="3" fontId="7" fillId="0" borderId="0" xfId="0" applyNumberFormat="1" applyFont="1" applyAlignment="1"/>
    <xf numFmtId="4" fontId="7" fillId="0" borderId="0" xfId="0" applyNumberFormat="1" applyFont="1" applyAlignment="1"/>
    <xf numFmtId="0" fontId="5" fillId="2" borderId="2" xfId="0" applyFont="1" applyFill="1" applyBorder="1" applyAlignment="1"/>
    <xf numFmtId="0" fontId="5" fillId="2" borderId="4" xfId="0" applyFont="1" applyFill="1" applyBorder="1" applyAlignment="1"/>
    <xf numFmtId="164" fontId="5" fillId="2" borderId="5" xfId="0" applyNumberFormat="1" applyFont="1" applyFill="1" applyBorder="1" applyAlignment="1">
      <alignment horizontal="right"/>
    </xf>
    <xf numFmtId="0" fontId="6" fillId="2" borderId="2" xfId="0" applyFont="1" applyFill="1" applyBorder="1" applyAlignment="1"/>
    <xf numFmtId="0" fontId="5" fillId="2" borderId="6" xfId="0" applyFont="1" applyFill="1" applyBorder="1" applyAlignment="1"/>
    <xf numFmtId="164" fontId="8" fillId="2" borderId="7" xfId="0" applyNumberFormat="1" applyFont="1" applyFill="1" applyBorder="1" applyAlignment="1">
      <alignment horizontal="right"/>
    </xf>
    <xf numFmtId="4" fontId="9" fillId="0" borderId="0" xfId="0" applyNumberFormat="1" applyFont="1" applyAlignment="1"/>
    <xf numFmtId="0" fontId="9" fillId="0" borderId="0" xfId="0" applyFont="1"/>
    <xf numFmtId="0" fontId="10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67"/>
  <sheetViews>
    <sheetView tabSelected="1" topLeftCell="E1" zoomScale="205" zoomScaleNormal="205" workbookViewId="0">
      <pane ySplit="7" topLeftCell="A8" activePane="bottomLeft" state="frozen"/>
      <selection pane="bottomLeft" activeCell="K12" sqref="K12"/>
    </sheetView>
  </sheetViews>
  <sheetFormatPr defaultColWidth="12.5703125" defaultRowHeight="15.75" customHeight="1" x14ac:dyDescent="0.2"/>
  <cols>
    <col min="3" max="3" width="26.140625" customWidth="1"/>
    <col min="4" max="4" width="15.42578125" customWidth="1"/>
    <col min="12" max="12" width="14.28515625" customWidth="1"/>
  </cols>
  <sheetData>
    <row r="1" spans="1:14" ht="12.75" x14ac:dyDescent="0.2">
      <c r="A1" s="28" t="s">
        <v>0</v>
      </c>
      <c r="B1" s="27"/>
      <c r="C1" s="27"/>
      <c r="D1" s="27"/>
      <c r="E1" s="27"/>
      <c r="F1" s="27"/>
      <c r="G1" s="27"/>
      <c r="H1" s="27"/>
      <c r="K1" s="1" t="s">
        <v>1</v>
      </c>
      <c r="L1" s="2" t="s">
        <v>2</v>
      </c>
      <c r="M1" s="2" t="s">
        <v>3</v>
      </c>
      <c r="N1" s="2" t="s">
        <v>4</v>
      </c>
    </row>
    <row r="2" spans="1:14" ht="12.75" x14ac:dyDescent="0.2">
      <c r="A2" s="29" t="s">
        <v>5</v>
      </c>
      <c r="B2" s="27"/>
      <c r="C2" s="27"/>
      <c r="D2" s="27"/>
      <c r="E2" s="27"/>
      <c r="F2" s="27"/>
      <c r="G2" s="27"/>
      <c r="H2" s="27"/>
      <c r="K2" s="3" t="s">
        <v>6</v>
      </c>
      <c r="L2" s="4">
        <v>1723518.04</v>
      </c>
      <c r="M2" s="5">
        <v>0.01</v>
      </c>
      <c r="N2" s="6">
        <f t="shared" ref="N2:N4" si="0">L2*M2</f>
        <v>17235.180400000001</v>
      </c>
    </row>
    <row r="3" spans="1:14" ht="12.75" x14ac:dyDescent="0.2">
      <c r="A3" s="28" t="s">
        <v>7</v>
      </c>
      <c r="B3" s="27"/>
      <c r="C3" s="27"/>
      <c r="D3" s="27"/>
      <c r="E3" s="27"/>
      <c r="F3" s="27"/>
      <c r="G3" s="27"/>
      <c r="H3" s="27"/>
      <c r="K3" s="7" t="s">
        <v>8</v>
      </c>
      <c r="L3" s="4">
        <v>1223</v>
      </c>
      <c r="M3" s="8">
        <v>0.05</v>
      </c>
      <c r="N3" s="6">
        <f t="shared" si="0"/>
        <v>61.150000000000006</v>
      </c>
    </row>
    <row r="4" spans="1:14" ht="12.75" x14ac:dyDescent="0.2">
      <c r="A4" s="26"/>
      <c r="B4" s="27"/>
      <c r="C4" s="27"/>
      <c r="D4" s="27"/>
      <c r="E4" s="27"/>
      <c r="F4" s="27"/>
      <c r="G4" s="27"/>
      <c r="H4" s="27"/>
      <c r="K4" s="3" t="s">
        <v>9</v>
      </c>
      <c r="L4" s="4">
        <v>25954.59</v>
      </c>
      <c r="M4" s="5">
        <v>0.01</v>
      </c>
      <c r="N4" s="6">
        <f t="shared" si="0"/>
        <v>259.54590000000002</v>
      </c>
    </row>
    <row r="5" spans="1:14" ht="12.75" x14ac:dyDescent="0.2">
      <c r="A5" s="26" t="s">
        <v>10</v>
      </c>
      <c r="B5" s="27"/>
      <c r="C5" s="26" t="s">
        <v>22</v>
      </c>
      <c r="D5" s="27"/>
      <c r="E5" s="27"/>
      <c r="F5" s="27"/>
      <c r="G5" s="27"/>
      <c r="H5" s="27"/>
      <c r="K5" s="10"/>
      <c r="L5" s="11">
        <f>SUM(L2:L4)</f>
        <v>1750695.6300000001</v>
      </c>
      <c r="M5" s="12"/>
      <c r="N5" s="11">
        <f>SUM(N2:N4)</f>
        <v>17555.876300000004</v>
      </c>
    </row>
    <row r="6" spans="1:14" ht="12.75" x14ac:dyDescent="0.2">
      <c r="A6" s="9" t="s">
        <v>11</v>
      </c>
      <c r="B6" s="26" t="s">
        <v>23</v>
      </c>
      <c r="C6" s="27"/>
      <c r="D6" s="27"/>
      <c r="E6" s="27"/>
      <c r="F6" s="27"/>
      <c r="G6" s="27"/>
      <c r="H6" s="27"/>
      <c r="K6" s="3" t="s">
        <v>12</v>
      </c>
      <c r="L6" s="13"/>
      <c r="M6" s="13"/>
      <c r="N6" s="13"/>
    </row>
    <row r="7" spans="1:14" ht="12.75" x14ac:dyDescent="0.2">
      <c r="A7" s="14" t="s">
        <v>13</v>
      </c>
      <c r="B7" s="14" t="s">
        <v>14</v>
      </c>
      <c r="C7" s="14" t="s">
        <v>15</v>
      </c>
      <c r="D7" s="14" t="s">
        <v>16</v>
      </c>
      <c r="E7" s="14" t="s">
        <v>17</v>
      </c>
      <c r="F7" s="14" t="s">
        <v>1</v>
      </c>
      <c r="G7" s="14" t="s">
        <v>2</v>
      </c>
      <c r="H7" s="14" t="s">
        <v>3</v>
      </c>
      <c r="I7" s="14" t="s">
        <v>4</v>
      </c>
      <c r="K7" s="7" t="s">
        <v>18</v>
      </c>
      <c r="L7" s="13"/>
      <c r="M7" s="13"/>
      <c r="N7" s="4">
        <v>6193.73</v>
      </c>
    </row>
    <row r="8" spans="1:14" ht="12.75" x14ac:dyDescent="0.2">
      <c r="A8" s="14" t="s">
        <v>26</v>
      </c>
      <c r="B8" s="15" t="s">
        <v>27</v>
      </c>
      <c r="C8" s="14" t="s">
        <v>28</v>
      </c>
      <c r="D8" s="14" t="s">
        <v>29</v>
      </c>
      <c r="E8" s="14" t="s">
        <v>30</v>
      </c>
      <c r="F8" s="16" t="s">
        <v>31</v>
      </c>
      <c r="G8" s="14" t="s">
        <v>32</v>
      </c>
      <c r="H8" s="14" t="s">
        <v>33</v>
      </c>
      <c r="I8" s="25" t="s">
        <v>34</v>
      </c>
      <c r="K8" s="7" t="s">
        <v>19</v>
      </c>
      <c r="L8" s="17"/>
      <c r="M8" s="17"/>
      <c r="N8" s="4">
        <v>7620.27</v>
      </c>
    </row>
    <row r="9" spans="1:14" ht="13.5" thickBot="1" x14ac:dyDescent="0.25">
      <c r="G9" s="23" t="s">
        <v>24</v>
      </c>
      <c r="H9" s="24"/>
      <c r="I9" s="23" t="s">
        <v>25</v>
      </c>
      <c r="K9" s="18" t="s">
        <v>20</v>
      </c>
      <c r="L9" s="18"/>
      <c r="M9" s="18"/>
      <c r="N9" s="19">
        <v>0</v>
      </c>
    </row>
    <row r="10" spans="1:14" ht="14.25" thickTop="1" thickBot="1" x14ac:dyDescent="0.25">
      <c r="K10" s="20" t="s">
        <v>21</v>
      </c>
      <c r="L10" s="17"/>
      <c r="M10" s="21"/>
      <c r="N10" s="22">
        <f>N5-N7-N8-N9</f>
        <v>3741.8763000000035</v>
      </c>
    </row>
    <row r="11" spans="1:14" ht="13.5" thickTop="1" x14ac:dyDescent="0.2"/>
    <row r="12" spans="1:14" ht="12.75" x14ac:dyDescent="0.2"/>
    <row r="13" spans="1:14" ht="12.75" x14ac:dyDescent="0.2"/>
    <row r="14" spans="1:14" ht="12.75" x14ac:dyDescent="0.2"/>
    <row r="15" spans="1:14" ht="12.75" x14ac:dyDescent="0.2"/>
    <row r="16" spans="1:14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</sheetData>
  <autoFilter ref="A7:I67"/>
  <mergeCells count="7">
    <mergeCell ref="B6:H6"/>
    <mergeCell ref="A1:H1"/>
    <mergeCell ref="A2:H2"/>
    <mergeCell ref="A3:H3"/>
    <mergeCell ref="A4:H4"/>
    <mergeCell ref="A5:B5"/>
    <mergeCell ref="C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</dc:creator>
  <cp:lastModifiedBy>Angelo</cp:lastModifiedBy>
  <dcterms:created xsi:type="dcterms:W3CDTF">2026-07-07T07:26:23Z</dcterms:created>
  <dcterms:modified xsi:type="dcterms:W3CDTF">2026-07-08T08:30:01Z</dcterms:modified>
</cp:coreProperties>
</file>